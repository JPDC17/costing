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6497428-my.sharepoint.com/personal/josh_earthxinc_ca/Documents/Documents/2026/Jobs/"/>
    </mc:Choice>
  </mc:AlternateContent>
  <xr:revisionPtr revIDLastSave="301" documentId="8_{9650C7BC-44D1-4FA6-B09C-4FCB7AFE7F6E}" xr6:coauthVersionLast="47" xr6:coauthVersionMax="47" xr10:uidLastSave="{BA28FC9C-4167-4FC2-AF7C-7BA7A01ACE25}"/>
  <bookViews>
    <workbookView xWindow="-96" yWindow="-96" windowWidth="23232" windowHeight="13872" xr2:uid="{B6BB572B-1820-468D-922B-7E9719C6E2AE}"/>
  </bookViews>
  <sheets>
    <sheet name="Approved Quotes" sheetId="1" r:id="rId1"/>
    <sheet name="Labour" sheetId="3" r:id="rId2"/>
    <sheet name="Equipment" sheetId="4" r:id="rId3"/>
    <sheet name="Material and Supplier Invoices" sheetId="2" r:id="rId4"/>
    <sheet name="Total Breakdow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5" l="1"/>
  <c r="B2" i="5"/>
  <c r="B30" i="3"/>
  <c r="B30" i="4"/>
  <c r="C58" i="2"/>
  <c r="B4" i="5" s="1"/>
  <c r="E4" i="2" a="1"/>
  <c r="C20" i="5"/>
  <c r="C19" i="5"/>
  <c r="C18" i="5"/>
  <c r="C17" i="5"/>
  <c r="C16" i="5"/>
  <c r="C15" i="5"/>
  <c r="C14" i="5"/>
  <c r="C13" i="5"/>
  <c r="B20" i="5"/>
  <c r="B19" i="5"/>
  <c r="B18" i="5"/>
  <c r="B17" i="5"/>
  <c r="B16" i="5"/>
  <c r="B15" i="5"/>
  <c r="B14" i="5"/>
  <c r="B13" i="5"/>
  <c r="A20" i="5"/>
  <c r="A19" i="5"/>
  <c r="A18" i="5"/>
  <c r="A17" i="5"/>
  <c r="A16" i="5"/>
  <c r="A15" i="5"/>
  <c r="A14" i="5"/>
  <c r="A13" i="5"/>
  <c r="B21" i="5"/>
  <c r="A2" i="2" a="1"/>
  <c r="B18" i="1"/>
  <c r="B7" i="5" l="1"/>
  <c r="B8" i="5" s="1"/>
  <c r="B10" i="5" s="1"/>
  <c r="B2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<sst xmlns="http://schemas.openxmlformats.org/spreadsheetml/2006/main" count="30" uniqueCount="19">
  <si>
    <t>Approved Quotes</t>
  </si>
  <si>
    <t>Total</t>
  </si>
  <si>
    <t>Notes</t>
  </si>
  <si>
    <t>Job Name</t>
  </si>
  <si>
    <t>Material and Supplier Invoices</t>
  </si>
  <si>
    <t>Name</t>
  </si>
  <si>
    <t>Invoice Number</t>
  </si>
  <si>
    <t>Amount</t>
  </si>
  <si>
    <t>Total Costs</t>
  </si>
  <si>
    <t>Labour</t>
  </si>
  <si>
    <t>Equipment</t>
  </si>
  <si>
    <t>Material and Supplier</t>
  </si>
  <si>
    <t>Overhead (12%)</t>
  </si>
  <si>
    <t>Original Contract Value</t>
  </si>
  <si>
    <t>Profit</t>
  </si>
  <si>
    <t>Total Contract Value</t>
  </si>
  <si>
    <t>Company Totals</t>
  </si>
  <si>
    <t>Change Orders</t>
  </si>
  <si>
    <t>Date(s)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</si>
</sst>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4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4" fontId="3" fillId="0" borderId="0" xfId="1" applyFont="1"/>
    <xf numFmtId="164" fontId="0" fillId="0" borderId="0" xfId="0" applyNumberFormat="1" applyFont="1"/>
  </cellXfs>
  <cellStyles count="2">
    <cellStyle name="Currency" xfId="1" builtinId="4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$&quot;#,##0.00"/>
    </dxf>
    <dxf>
      <alignment horizontal="left" vertical="bottom" textRotation="0" wrapText="0" indent="0" justifyLastLine="0" shrinkToFit="0" readingOrder="0"/>
    </dxf>
    <dxf>
      <fill>
        <patternFill>
          <bgColor rgb="FF00FF00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52FC6-658D-4423-A257-F621833CE47C}" name="Table1" displayName="Table1" ref="A3:C55" totalsRowShown="0" headerRowDxfId="0">
  <autoFilter ref="A3:C55" xr:uid="{2C052FC6-658D-4423-A257-F621833CE47C}">
    <filterColumn colId="0" hiddenButton="1"/>
    <filterColumn colId="1" hiddenButton="1"/>
    <filterColumn colId="2" hiddenButton="1"/>
  </autoFilter>
  <tableColumns count="3">
    <tableColumn id="1" xr3:uid="{7E07C15E-5805-45CA-8E94-F667506DF834}" name="Name"/>
    <tableColumn id="2" xr3:uid="{F5160B0D-C17B-4CDC-BDA2-A353CA9907C0}" name="Invoice Number" dataDxfId="2"/>
    <tableColumn id="3" xr3:uid="{B62D75EF-0506-4032-9860-B494A1CC8BE4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A29D-9FC4-406F-BD92-FFF530BCB07C}">
  <dimension ref="A1:C38"/>
  <sheetViews>
    <sheetView tabSelected="1" workbookViewId="0">
      <selection sqref="A1:C1"/>
    </sheetView>
  </sheetViews>
  <sheetFormatPr defaultRowHeight="15" x14ac:dyDescent="0.25"/>
  <cols>
    <col min="1" max="1" width="23.28515625" bestFit="1" customWidth="1"/>
    <col min="2" max="2" width="14.7109375" customWidth="1"/>
    <col min="3" max="3" width="27.42578125" customWidth="1"/>
  </cols>
  <sheetData>
    <row r="1" spans="1:3" x14ac:dyDescent="0.25">
      <c r="A1" s="11" t="s">
        <v>3</v>
      </c>
      <c r="B1" s="11"/>
      <c r="C1" s="11"/>
    </row>
    <row r="2" spans="1:3" x14ac:dyDescent="0.25">
      <c r="A2" s="7" t="s">
        <v>0</v>
      </c>
      <c r="B2" s="7" t="s">
        <v>1</v>
      </c>
      <c r="C2" s="7" t="s">
        <v>2</v>
      </c>
    </row>
    <row r="3" spans="1:3" x14ac:dyDescent="0.25">
      <c r="B3" s="1"/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  <row r="11" spans="1:3" x14ac:dyDescent="0.25">
      <c r="B11" s="1"/>
    </row>
    <row r="12" spans="1:3" x14ac:dyDescent="0.25">
      <c r="B12" s="1"/>
    </row>
    <row r="13" spans="1:3" x14ac:dyDescent="0.25">
      <c r="B13" s="1"/>
    </row>
    <row r="14" spans="1:3" x14ac:dyDescent="0.25">
      <c r="B14" s="1"/>
    </row>
    <row r="15" spans="1:3" x14ac:dyDescent="0.25">
      <c r="B15" s="1"/>
    </row>
    <row r="16" spans="1:3" x14ac:dyDescent="0.25">
      <c r="B16" s="1"/>
    </row>
    <row r="17" spans="1:2" x14ac:dyDescent="0.25">
      <c r="B17" s="1"/>
    </row>
    <row r="18" spans="1:2" x14ac:dyDescent="0.25">
      <c r="A18" s="6" t="s">
        <v>1</v>
      </c>
      <c r="B18" s="1">
        <f>SUM(B3:B17)</f>
        <v>0</v>
      </c>
    </row>
    <row r="19" spans="1:2" x14ac:dyDescent="0.25">
      <c r="B19" s="1"/>
    </row>
    <row r="20" spans="1:2" x14ac:dyDescent="0.25">
      <c r="A20" s="6" t="s">
        <v>17</v>
      </c>
      <c r="B20" s="1"/>
    </row>
    <row r="21" spans="1:2" x14ac:dyDescent="0.25">
      <c r="A21" s="6"/>
      <c r="B21" s="1"/>
    </row>
    <row r="22" spans="1:2" x14ac:dyDescent="0.25">
      <c r="B22" s="1"/>
    </row>
    <row r="23" spans="1:2" x14ac:dyDescent="0.25">
      <c r="B23" s="1"/>
    </row>
    <row r="24" spans="1:2" x14ac:dyDescent="0.25">
      <c r="B24" s="1"/>
    </row>
    <row r="25" spans="1:2" x14ac:dyDescent="0.25">
      <c r="B25" s="1"/>
    </row>
    <row r="26" spans="1:2" x14ac:dyDescent="0.25">
      <c r="B26" s="1"/>
    </row>
    <row r="27" spans="1:2" x14ac:dyDescent="0.25">
      <c r="B27" s="1"/>
    </row>
    <row r="28" spans="1:2" x14ac:dyDescent="0.25">
      <c r="B28" s="1"/>
    </row>
    <row r="29" spans="1:2" x14ac:dyDescent="0.25">
      <c r="B29" s="1"/>
    </row>
    <row r="30" spans="1:2" x14ac:dyDescent="0.25">
      <c r="B30" s="1"/>
    </row>
    <row r="31" spans="1:2" x14ac:dyDescent="0.25">
      <c r="B31" s="1"/>
    </row>
    <row r="32" spans="1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52CD-B5D9-4959-85C7-5FBA36577394}">
  <dimension ref="A1:B30"/>
  <sheetViews>
    <sheetView workbookViewId="0">
      <selection activeCell="A2" sqref="A2"/>
    </sheetView>
  </sheetViews>
  <sheetFormatPr defaultRowHeight="15" x14ac:dyDescent="0.25"/>
  <cols>
    <col min="1" max="1" width="27.28515625" customWidth="1"/>
    <col min="2" max="2" width="18.28515625" customWidth="1"/>
  </cols>
  <sheetData>
    <row r="1" spans="1:2" x14ac:dyDescent="0.25">
      <c r="A1" s="7" t="s">
        <v>18</v>
      </c>
      <c r="B1" s="7" t="s">
        <v>7</v>
      </c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1:2" x14ac:dyDescent="0.25">
      <c r="B17" s="1"/>
    </row>
    <row r="18" spans="1:2" x14ac:dyDescent="0.25">
      <c r="B18" s="1"/>
    </row>
    <row r="19" spans="1:2" x14ac:dyDescent="0.25">
      <c r="B19" s="1"/>
    </row>
    <row r="20" spans="1:2" x14ac:dyDescent="0.25">
      <c r="B20" s="1"/>
    </row>
    <row r="21" spans="1:2" x14ac:dyDescent="0.25">
      <c r="B21" s="1"/>
    </row>
    <row r="22" spans="1:2" x14ac:dyDescent="0.25">
      <c r="B22" s="1"/>
    </row>
    <row r="23" spans="1:2" x14ac:dyDescent="0.25">
      <c r="B23" s="1"/>
    </row>
    <row r="24" spans="1:2" x14ac:dyDescent="0.25">
      <c r="B24" s="1"/>
    </row>
    <row r="25" spans="1:2" x14ac:dyDescent="0.25">
      <c r="B25" s="1"/>
    </row>
    <row r="26" spans="1:2" x14ac:dyDescent="0.25">
      <c r="B26" s="1"/>
    </row>
    <row r="27" spans="1:2" x14ac:dyDescent="0.25">
      <c r="B27" s="1"/>
    </row>
    <row r="28" spans="1:2" x14ac:dyDescent="0.25">
      <c r="B28" s="1"/>
    </row>
    <row r="29" spans="1:2" x14ac:dyDescent="0.25">
      <c r="B29" s="1"/>
    </row>
    <row r="30" spans="1:2" x14ac:dyDescent="0.25">
      <c r="A30" s="6" t="s">
        <v>1</v>
      </c>
      <c r="B30" s="14">
        <f>SUM(B2:B29)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D7DE-5CF2-497D-B577-BAF111030D8A}">
  <dimension ref="A1:B30"/>
  <sheetViews>
    <sheetView workbookViewId="0">
      <selection activeCell="A2" sqref="A2"/>
    </sheetView>
  </sheetViews>
  <sheetFormatPr defaultRowHeight="15" x14ac:dyDescent="0.25"/>
  <cols>
    <col min="1" max="1" width="27.28515625" customWidth="1"/>
    <col min="2" max="2" width="18.28515625" customWidth="1"/>
  </cols>
  <sheetData>
    <row r="1" spans="1:2" x14ac:dyDescent="0.25">
      <c r="A1" s="7" t="s">
        <v>18</v>
      </c>
      <c r="B1" s="7" t="s">
        <v>7</v>
      </c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1:2" x14ac:dyDescent="0.25">
      <c r="B17" s="1"/>
    </row>
    <row r="18" spans="1:2" x14ac:dyDescent="0.25">
      <c r="B18" s="1"/>
    </row>
    <row r="19" spans="1:2" x14ac:dyDescent="0.25">
      <c r="B19" s="1"/>
    </row>
    <row r="20" spans="1:2" x14ac:dyDescent="0.25">
      <c r="B20" s="1"/>
    </row>
    <row r="21" spans="1:2" x14ac:dyDescent="0.25">
      <c r="B21" s="1"/>
    </row>
    <row r="22" spans="1:2" x14ac:dyDescent="0.25">
      <c r="B22" s="1"/>
    </row>
    <row r="23" spans="1:2" x14ac:dyDescent="0.25">
      <c r="B23" s="1"/>
    </row>
    <row r="24" spans="1:2" x14ac:dyDescent="0.25">
      <c r="B24" s="1"/>
    </row>
    <row r="25" spans="1:2" x14ac:dyDescent="0.25">
      <c r="B25" s="1"/>
    </row>
    <row r="26" spans="1:2" x14ac:dyDescent="0.25">
      <c r="B26" s="1"/>
    </row>
    <row r="27" spans="1:2" x14ac:dyDescent="0.25">
      <c r="B27" s="1"/>
    </row>
    <row r="28" spans="1:2" x14ac:dyDescent="0.25">
      <c r="B28" s="1"/>
    </row>
    <row r="29" spans="1:2" x14ac:dyDescent="0.25">
      <c r="B29" s="1"/>
    </row>
    <row r="30" spans="1:2" x14ac:dyDescent="0.25">
      <c r="A30" s="6" t="s">
        <v>1</v>
      </c>
      <c r="B30" s="14">
        <f>SUM(B2:B29)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A363-56E5-4DFB-BB01-8BBF9312F573}">
  <dimension ref="A1:F134"/>
  <sheetViews>
    <sheetView showZeros="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8.140625" bestFit="1" customWidth="1"/>
    <col min="2" max="2" width="18.42578125" customWidth="1"/>
    <col min="3" max="3" width="18" customWidth="1"/>
    <col min="4" max="4" width="45.28515625" customWidth="1"/>
    <col min="5" max="6" width="18.28515625" customWidth="1"/>
  </cols>
  <sheetData>
    <row r="1" spans="1:6" x14ac:dyDescent="0.25">
      <c r="A1" s="12" t="s">
        <v>4</v>
      </c>
      <c r="B1" s="12"/>
      <c r="C1" s="12"/>
    </row>
    <row r="2" spans="1:6" x14ac:dyDescent="0.25">
      <c r="A2" s="6" t="str" cm="1">
        <f t="array" ref="A2:C2">'Approved Quotes'!A1:C1</f>
        <v>Job Name</v>
      </c>
      <c r="B2" s="6">
        <v>0</v>
      </c>
      <c r="C2" s="6">
        <v>0</v>
      </c>
    </row>
    <row r="3" spans="1:6" x14ac:dyDescent="0.25">
      <c r="A3" s="7" t="s">
        <v>5</v>
      </c>
      <c r="B3" s="7" t="s">
        <v>6</v>
      </c>
      <c r="C3" s="7" t="s">
        <v>7</v>
      </c>
      <c r="D3" s="7" t="s">
        <v>2</v>
      </c>
      <c r="E3" s="7" t="s">
        <v>16</v>
      </c>
      <c r="F3" s="7" t="s">
        <v>1</v>
      </c>
    </row>
    <row r="4" spans="1:6" x14ac:dyDescent="0.25">
      <c r="B4" s="2"/>
      <c r="C4" s="3"/>
      <c r="E4" cm="1">
        <f t="array" ref="E4:F5">_xlfn.GROUPBY(Table1[Name], Table1[Amount], _xleta.SUM)</f>
        <v>0</v>
      </c>
      <c r="F4" s="3">
        <v>0</v>
      </c>
    </row>
    <row r="5" spans="1:6" x14ac:dyDescent="0.25">
      <c r="B5" s="2"/>
      <c r="C5" s="3"/>
      <c r="E5" t="str">
        <v>Total</v>
      </c>
      <c r="F5" s="3">
        <v>0</v>
      </c>
    </row>
    <row r="6" spans="1:6" x14ac:dyDescent="0.25">
      <c r="B6" s="2"/>
      <c r="C6" s="3"/>
      <c r="F6" s="3"/>
    </row>
    <row r="7" spans="1:6" x14ac:dyDescent="0.25">
      <c r="B7" s="2"/>
      <c r="C7" s="3"/>
      <c r="F7" s="3"/>
    </row>
    <row r="8" spans="1:6" x14ac:dyDescent="0.25">
      <c r="B8" s="2"/>
      <c r="C8" s="3"/>
      <c r="F8" s="3"/>
    </row>
    <row r="9" spans="1:6" x14ac:dyDescent="0.25">
      <c r="B9" s="2"/>
      <c r="C9" s="3"/>
      <c r="F9" s="3"/>
    </row>
    <row r="10" spans="1:6" x14ac:dyDescent="0.25">
      <c r="B10" s="2"/>
      <c r="C10" s="3"/>
      <c r="F10" s="3"/>
    </row>
    <row r="11" spans="1:6" x14ac:dyDescent="0.25">
      <c r="B11" s="2"/>
      <c r="C11" s="3"/>
      <c r="F11" s="3"/>
    </row>
    <row r="12" spans="1:6" x14ac:dyDescent="0.25">
      <c r="B12" s="2"/>
      <c r="C12" s="3"/>
      <c r="F12" s="3"/>
    </row>
    <row r="13" spans="1:6" x14ac:dyDescent="0.25">
      <c r="B13" s="2"/>
      <c r="C13" s="3"/>
      <c r="F13" s="3"/>
    </row>
    <row r="14" spans="1:6" x14ac:dyDescent="0.25">
      <c r="B14" s="2"/>
      <c r="C14" s="3"/>
      <c r="F14" s="3"/>
    </row>
    <row r="15" spans="1:6" x14ac:dyDescent="0.25">
      <c r="B15" s="2"/>
      <c r="C15" s="3"/>
      <c r="F15" s="3"/>
    </row>
    <row r="16" spans="1:6" x14ac:dyDescent="0.25">
      <c r="B16" s="2"/>
      <c r="C16" s="3"/>
      <c r="F16" s="15"/>
    </row>
    <row r="17" spans="2:6" x14ac:dyDescent="0.25">
      <c r="B17" s="2"/>
      <c r="C17" s="3"/>
    </row>
    <row r="18" spans="2:6" x14ac:dyDescent="0.25">
      <c r="B18" s="2"/>
      <c r="C18" s="3"/>
    </row>
    <row r="19" spans="2:6" x14ac:dyDescent="0.25">
      <c r="B19" s="2"/>
      <c r="C19" s="3"/>
    </row>
    <row r="20" spans="2:6" x14ac:dyDescent="0.25">
      <c r="B20" s="2"/>
      <c r="C20" s="3"/>
      <c r="F20" s="3"/>
    </row>
    <row r="21" spans="2:6" x14ac:dyDescent="0.25">
      <c r="B21" s="2"/>
      <c r="C21" s="3"/>
    </row>
    <row r="22" spans="2:6" x14ac:dyDescent="0.25">
      <c r="B22" s="2"/>
      <c r="C22" s="3"/>
    </row>
    <row r="23" spans="2:6" x14ac:dyDescent="0.25">
      <c r="B23" s="2"/>
      <c r="C23" s="3"/>
    </row>
    <row r="24" spans="2:6" x14ac:dyDescent="0.25">
      <c r="B24" s="2"/>
      <c r="C24" s="3"/>
    </row>
    <row r="25" spans="2:6" x14ac:dyDescent="0.25">
      <c r="B25" s="2"/>
      <c r="C25" s="3"/>
    </row>
    <row r="26" spans="2:6" x14ac:dyDescent="0.25">
      <c r="B26" s="2"/>
      <c r="C26" s="3"/>
    </row>
    <row r="27" spans="2:6" x14ac:dyDescent="0.25">
      <c r="B27" s="2"/>
      <c r="C27" s="3"/>
    </row>
    <row r="28" spans="2:6" x14ac:dyDescent="0.25">
      <c r="B28" s="2"/>
      <c r="C28" s="3"/>
    </row>
    <row r="29" spans="2:6" x14ac:dyDescent="0.25">
      <c r="B29" s="2"/>
      <c r="C29" s="3"/>
    </row>
    <row r="30" spans="2:6" x14ac:dyDescent="0.25">
      <c r="B30" s="2"/>
      <c r="C30" s="3"/>
    </row>
    <row r="31" spans="2:6" x14ac:dyDescent="0.25">
      <c r="B31" s="2"/>
      <c r="C31" s="3"/>
    </row>
    <row r="32" spans="2:6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1:3" x14ac:dyDescent="0.25">
      <c r="B49" s="2"/>
      <c r="C49" s="3"/>
    </row>
    <row r="50" spans="1:3" x14ac:dyDescent="0.25">
      <c r="B50" s="2"/>
      <c r="C50" s="3"/>
    </row>
    <row r="51" spans="1:3" x14ac:dyDescent="0.25">
      <c r="B51" s="2"/>
      <c r="C51" s="3"/>
    </row>
    <row r="52" spans="1:3" x14ac:dyDescent="0.25">
      <c r="B52" s="2"/>
      <c r="C52" s="3"/>
    </row>
    <row r="53" spans="1:3" x14ac:dyDescent="0.25">
      <c r="B53" s="2"/>
      <c r="C53" s="3"/>
    </row>
    <row r="54" spans="1:3" x14ac:dyDescent="0.25">
      <c r="B54" s="2"/>
      <c r="C54" s="3"/>
    </row>
    <row r="55" spans="1:3" x14ac:dyDescent="0.25">
      <c r="B55" s="2"/>
      <c r="C55" s="3"/>
    </row>
    <row r="56" spans="1:3" x14ac:dyDescent="0.25">
      <c r="B56" s="2"/>
      <c r="C56" s="3"/>
    </row>
    <row r="57" spans="1:3" x14ac:dyDescent="0.25">
      <c r="B57" s="2"/>
      <c r="C57" s="3"/>
    </row>
    <row r="58" spans="1:3" x14ac:dyDescent="0.25">
      <c r="A58" s="6" t="s">
        <v>1</v>
      </c>
      <c r="B58" s="8"/>
      <c r="C58" s="10">
        <f>SUM(C4:C55)</f>
        <v>0</v>
      </c>
    </row>
    <row r="59" spans="1:3" x14ac:dyDescent="0.25">
      <c r="B59" s="2"/>
      <c r="C59" s="3"/>
    </row>
    <row r="60" spans="1:3" x14ac:dyDescent="0.25">
      <c r="B60" s="2"/>
      <c r="C60" s="3"/>
    </row>
    <row r="61" spans="1:3" x14ac:dyDescent="0.25">
      <c r="B61" s="2"/>
      <c r="C61" s="3"/>
    </row>
    <row r="62" spans="1:3" x14ac:dyDescent="0.25">
      <c r="B62" s="2"/>
      <c r="C62" s="3"/>
    </row>
    <row r="63" spans="1:3" x14ac:dyDescent="0.25">
      <c r="B63" s="2"/>
      <c r="C63" s="3"/>
    </row>
    <row r="64" spans="1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</sheetData>
  <mergeCells count="1">
    <mergeCell ref="A1:C1"/>
  </mergeCells>
  <conditionalFormatting sqref="B4:B44">
    <cfRule type="duplicateValues" dxfId="6" priority="2"/>
  </conditionalFormatting>
  <conditionalFormatting sqref="B4:B57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2716-CAEC-44E2-A708-70B1FB3BB8E3}">
  <dimension ref="A1:C32"/>
  <sheetViews>
    <sheetView showZeros="0" workbookViewId="0">
      <selection activeCell="B23" sqref="B23"/>
    </sheetView>
  </sheetViews>
  <sheetFormatPr defaultRowHeight="15" x14ac:dyDescent="0.25"/>
  <cols>
    <col min="1" max="1" width="28.85546875" customWidth="1"/>
    <col min="2" max="2" width="27.7109375" customWidth="1"/>
    <col min="3" max="3" width="22.140625" customWidth="1"/>
  </cols>
  <sheetData>
    <row r="1" spans="1:3" x14ac:dyDescent="0.25">
      <c r="A1" s="13" t="s">
        <v>8</v>
      </c>
      <c r="B1" s="13"/>
    </row>
    <row r="2" spans="1:3" x14ac:dyDescent="0.25">
      <c r="A2" s="9" t="s">
        <v>9</v>
      </c>
      <c r="B2" s="5">
        <f>Labour!B30</f>
        <v>0</v>
      </c>
    </row>
    <row r="3" spans="1:3" x14ac:dyDescent="0.25">
      <c r="A3" s="9" t="s">
        <v>10</v>
      </c>
      <c r="B3" s="5">
        <f>Equipment!B30</f>
        <v>0</v>
      </c>
    </row>
    <row r="4" spans="1:3" x14ac:dyDescent="0.25">
      <c r="A4" s="9" t="s">
        <v>11</v>
      </c>
      <c r="B4" s="5">
        <f>'Material and Supplier Invoices'!C58</f>
        <v>0</v>
      </c>
    </row>
    <row r="5" spans="1:3" x14ac:dyDescent="0.25">
      <c r="A5" s="6"/>
    </row>
    <row r="6" spans="1:3" x14ac:dyDescent="0.25">
      <c r="A6" s="6"/>
    </row>
    <row r="7" spans="1:3" x14ac:dyDescent="0.25">
      <c r="A7" s="9" t="s">
        <v>1</v>
      </c>
      <c r="B7" s="5">
        <f>SUM(B2:B6)</f>
        <v>0</v>
      </c>
    </row>
    <row r="8" spans="1:3" x14ac:dyDescent="0.25">
      <c r="A8" s="9" t="s">
        <v>12</v>
      </c>
      <c r="B8" s="5">
        <f>B7*0.12</f>
        <v>0</v>
      </c>
    </row>
    <row r="9" spans="1:3" x14ac:dyDescent="0.25">
      <c r="A9" s="6"/>
    </row>
    <row r="10" spans="1:3" x14ac:dyDescent="0.25">
      <c r="A10" s="9" t="s">
        <v>8</v>
      </c>
      <c r="B10" s="5">
        <f>SUM(B2:B4,B8)</f>
        <v>0</v>
      </c>
    </row>
    <row r="11" spans="1:3" x14ac:dyDescent="0.25">
      <c r="A11" s="6"/>
    </row>
    <row r="12" spans="1:3" x14ac:dyDescent="0.25">
      <c r="A12" s="9" t="s">
        <v>13</v>
      </c>
      <c r="B12" s="5"/>
    </row>
    <row r="13" spans="1:3" x14ac:dyDescent="0.25">
      <c r="A13" s="9">
        <f>'Approved Quotes'!A3</f>
        <v>0</v>
      </c>
      <c r="B13" s="9">
        <f>'Approved Quotes'!B3</f>
        <v>0</v>
      </c>
      <c r="C13" s="9">
        <f>'Approved Quotes'!C3</f>
        <v>0</v>
      </c>
    </row>
    <row r="14" spans="1:3" x14ac:dyDescent="0.25">
      <c r="A14" s="9">
        <f>'Approved Quotes'!A4</f>
        <v>0</v>
      </c>
      <c r="B14" s="9">
        <f>'Approved Quotes'!B4</f>
        <v>0</v>
      </c>
      <c r="C14" s="9">
        <f>'Approved Quotes'!C4</f>
        <v>0</v>
      </c>
    </row>
    <row r="15" spans="1:3" x14ac:dyDescent="0.25">
      <c r="A15" s="9">
        <f>'Approved Quotes'!A5</f>
        <v>0</v>
      </c>
      <c r="B15" s="9">
        <f>'Approved Quotes'!B5</f>
        <v>0</v>
      </c>
      <c r="C15" s="9">
        <f>'Approved Quotes'!C5</f>
        <v>0</v>
      </c>
    </row>
    <row r="16" spans="1:3" x14ac:dyDescent="0.25">
      <c r="A16" s="9">
        <f>'Approved Quotes'!A6</f>
        <v>0</v>
      </c>
      <c r="B16" s="9">
        <f>'Approved Quotes'!B6</f>
        <v>0</v>
      </c>
      <c r="C16" s="9">
        <f>'Approved Quotes'!C6</f>
        <v>0</v>
      </c>
    </row>
    <row r="17" spans="1:3" x14ac:dyDescent="0.25">
      <c r="A17" s="9">
        <f>'Approved Quotes'!A7</f>
        <v>0</v>
      </c>
      <c r="B17" s="9">
        <f>'Approved Quotes'!B7</f>
        <v>0</v>
      </c>
      <c r="C17" s="9">
        <f>'Approved Quotes'!C7</f>
        <v>0</v>
      </c>
    </row>
    <row r="18" spans="1:3" x14ac:dyDescent="0.25">
      <c r="A18" s="9">
        <f>'Approved Quotes'!A8</f>
        <v>0</v>
      </c>
      <c r="B18" s="9">
        <f>'Approved Quotes'!B8</f>
        <v>0</v>
      </c>
      <c r="C18" s="9">
        <f>'Approved Quotes'!C8</f>
        <v>0</v>
      </c>
    </row>
    <row r="19" spans="1:3" x14ac:dyDescent="0.25">
      <c r="A19" s="9">
        <f>'Approved Quotes'!A9</f>
        <v>0</v>
      </c>
      <c r="B19" s="9">
        <f>'Approved Quotes'!B9</f>
        <v>0</v>
      </c>
      <c r="C19" s="9">
        <f>'Approved Quotes'!C9</f>
        <v>0</v>
      </c>
    </row>
    <row r="20" spans="1:3" x14ac:dyDescent="0.25">
      <c r="A20" s="9">
        <f>'Approved Quotes'!A10</f>
        <v>0</v>
      </c>
      <c r="B20" s="9">
        <f>'Approved Quotes'!B10</f>
        <v>0</v>
      </c>
      <c r="C20" s="9">
        <f>'Approved Quotes'!C10</f>
        <v>0</v>
      </c>
    </row>
    <row r="21" spans="1:3" x14ac:dyDescent="0.25">
      <c r="A21" s="6" t="s">
        <v>15</v>
      </c>
      <c r="B21" s="5">
        <f>SUM(B12:B20)</f>
        <v>0</v>
      </c>
    </row>
    <row r="22" spans="1:3" x14ac:dyDescent="0.25">
      <c r="A22" s="6"/>
    </row>
    <row r="23" spans="1:3" x14ac:dyDescent="0.25">
      <c r="A23" s="9" t="s">
        <v>14</v>
      </c>
      <c r="B23" s="1">
        <f>B21-B10</f>
        <v>0</v>
      </c>
    </row>
    <row r="24" spans="1:3" x14ac:dyDescent="0.25">
      <c r="A24" s="4"/>
      <c r="B24" s="1"/>
    </row>
    <row r="25" spans="1:3" x14ac:dyDescent="0.25">
      <c r="A25" s="4"/>
      <c r="B25" s="1"/>
      <c r="C25" s="4"/>
    </row>
    <row r="26" spans="1:3" x14ac:dyDescent="0.25">
      <c r="B26" s="1"/>
      <c r="C26" s="4"/>
    </row>
    <row r="27" spans="1:3" x14ac:dyDescent="0.25">
      <c r="B27" s="1"/>
      <c r="C27" s="4"/>
    </row>
    <row r="30" spans="1:3" x14ac:dyDescent="0.25">
      <c r="A30" s="4"/>
      <c r="B30" s="5"/>
    </row>
    <row r="32" spans="1:3" x14ac:dyDescent="0.25">
      <c r="A32" s="4"/>
      <c r="B32" s="5"/>
    </row>
  </sheetData>
  <mergeCells count="1">
    <mergeCell ref="A1:B1"/>
  </mergeCells>
  <conditionalFormatting sqref="B23">
    <cfRule type="expression" dxfId="4" priority="1">
      <formula>$B$23&lt;0</formula>
    </cfRule>
    <cfRule type="expression" dxfId="3" priority="2">
      <formula>$B$23&gt;0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Approved Quotes</vt:lpstr>
      <vt:lpstr>Labour</vt:lpstr>
      <vt:lpstr>Equipment</vt:lpstr>
      <vt:lpstr>Material and Supplier Invoices</vt:lpstr>
      <vt:lpstr>Total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Del Casale</dc:creator>
  <cp:lastModifiedBy>Josh Del Casale</cp:lastModifiedBy>
  <dcterms:created xsi:type="dcterms:W3CDTF">2026-10-05T16:05:21Z</dcterms:created>
  <dcterms:modified xsi:type="dcterms:W3CDTF">2026-10-13T15:48:35Z</dcterms:modified>
</cp:coreProperties>
</file>